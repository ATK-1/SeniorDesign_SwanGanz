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hto\Dev\SeniorDesign_SwanGanz\hardware\"/>
    </mc:Choice>
  </mc:AlternateContent>
  <xr:revisionPtr revIDLastSave="0" documentId="13_ncr:1_{166CF364-92CD-4075-81CE-78BCD4BC5E1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4" i="1" l="1"/>
  <c r="F43" i="1"/>
  <c r="F30" i="1"/>
  <c r="F23" i="1"/>
  <c r="F24" i="1"/>
  <c r="F25" i="1"/>
  <c r="F26" i="1"/>
  <c r="F27" i="1"/>
  <c r="F28" i="1"/>
  <c r="F29" i="1"/>
  <c r="F31" i="1"/>
  <c r="F32" i="1"/>
  <c r="F33" i="1"/>
  <c r="F34" i="1"/>
  <c r="F35" i="1"/>
  <c r="F36" i="1"/>
  <c r="F37" i="1"/>
  <c r="F38" i="1"/>
  <c r="F39" i="1"/>
  <c r="F40" i="1"/>
  <c r="F41" i="1"/>
  <c r="F22" i="1"/>
</calcChain>
</file>

<file path=xl/sharedStrings.xml><?xml version="1.0" encoding="utf-8"?>
<sst xmlns="http://schemas.openxmlformats.org/spreadsheetml/2006/main" count="74" uniqueCount="55">
  <si>
    <t>Your Name</t>
  </si>
  <si>
    <t>Your e-mail</t>
  </si>
  <si>
    <t>Your phone no.</t>
  </si>
  <si>
    <t>Project Title</t>
  </si>
  <si>
    <t>Student and Project Information</t>
  </si>
  <si>
    <t>Vendor Information</t>
  </si>
  <si>
    <t>Co. Name</t>
  </si>
  <si>
    <t>Attach a pdf (print page or screen shot) of your Shopping Cart if available.</t>
  </si>
  <si>
    <t>EE364D/464 Purchase Form</t>
  </si>
  <si>
    <t>Today's Date</t>
  </si>
  <si>
    <t>Attach a quotation if you have one.</t>
  </si>
  <si>
    <t>Website/link</t>
  </si>
  <si>
    <t>Other helpful information</t>
  </si>
  <si>
    <t>Team No.</t>
  </si>
  <si>
    <t>Unit (ea, pkg, dozen, etc.)</t>
  </si>
  <si>
    <r>
      <rPr>
        <i/>
        <sz val="12"/>
        <color rgb="FFFF0000"/>
        <rFont val="Calibri"/>
        <family val="2"/>
        <scheme val="minor"/>
      </rPr>
      <t>*</t>
    </r>
    <r>
      <rPr>
        <i/>
        <sz val="12"/>
        <color rgb="FF000000"/>
        <rFont val="Calibri"/>
        <family val="2"/>
        <scheme val="minor"/>
      </rPr>
      <t>Faculty Mentor must be copied on all emailed requests, as well</t>
    </r>
  </si>
  <si>
    <r>
      <t xml:space="preserve">Item no.   </t>
    </r>
    <r>
      <rPr>
        <sz val="12"/>
        <color rgb="FFFF0000"/>
        <rFont val="Calibri"/>
        <family val="2"/>
        <scheme val="minor"/>
      </rPr>
      <t>*</t>
    </r>
  </si>
  <si>
    <r>
      <t xml:space="preserve">Part no. / Description   </t>
    </r>
    <r>
      <rPr>
        <sz val="12"/>
        <color rgb="FFFF0000"/>
        <rFont val="Calibri"/>
        <family val="2"/>
        <scheme val="minor"/>
      </rPr>
      <t>*</t>
    </r>
  </si>
  <si>
    <r>
      <t xml:space="preserve">Qty   </t>
    </r>
    <r>
      <rPr>
        <sz val="12"/>
        <color rgb="FFFF0000"/>
        <rFont val="Calibri"/>
        <family val="2"/>
        <scheme val="minor"/>
      </rPr>
      <t>*</t>
    </r>
  </si>
  <si>
    <r>
      <t xml:space="preserve">Total Price  </t>
    </r>
    <r>
      <rPr>
        <sz val="12"/>
        <color rgb="FFFF0000"/>
        <rFont val="Calibri"/>
        <family val="2"/>
        <scheme val="minor"/>
      </rPr>
      <t>*</t>
    </r>
  </si>
  <si>
    <r>
      <t xml:space="preserve">Price per unit  </t>
    </r>
    <r>
      <rPr>
        <sz val="12"/>
        <color rgb="FFFF0000"/>
        <rFont val="Calibri"/>
        <family val="2"/>
        <scheme val="minor"/>
      </rPr>
      <t>*</t>
    </r>
  </si>
  <si>
    <t>Faculty Mentor name</t>
  </si>
  <si>
    <t>Ashton Knecht</t>
  </si>
  <si>
    <t>Mouser</t>
  </si>
  <si>
    <t>Dr. Jonathan Valvano</t>
  </si>
  <si>
    <t>atk836@my.utexas.edu</t>
  </si>
  <si>
    <t>FH02</t>
  </si>
  <si>
    <t>Design, Implement and test a Swan Ganz Thermodilution Instrument</t>
  </si>
  <si>
    <t>Shopping Cart Link:</t>
  </si>
  <si>
    <t>https://www.mouser.com/</t>
  </si>
  <si>
    <t>ea</t>
  </si>
  <si>
    <t>Estimated Tariff</t>
  </si>
  <si>
    <t>Total :</t>
  </si>
  <si>
    <t>CC0603JRX7R9BB104 - https://mou.sr/3KIvj2i</t>
  </si>
  <si>
    <t>C1206C106J3RACTU - https://mou.sr/4aW77nK</t>
  </si>
  <si>
    <t>GRT31C5C1E104FA02L - https://mou.sr/49WiPhJ</t>
  </si>
  <si>
    <t>SQ2389CES-T1_GE3 - https://mou.sr/4rGY4NL</t>
  </si>
  <si>
    <t>CRCW060347K0FKED - https://mou.sr/43XqsSa</t>
  </si>
  <si>
    <t>RCA060310K0FKEC - https://mou.sr/463dpQf</t>
  </si>
  <si>
    <t>TNPW06031K00FHEA - https://mou.sr/463dpQf</t>
  </si>
  <si>
    <t>1879246-3 - https://mou.sr/4cx5VIG</t>
  </si>
  <si>
    <t>RCA0603100KFKEC - https://mou.sr/4cx5VIG</t>
  </si>
  <si>
    <t>AC0603FRE07100RL - https://mou.sr/4c1KKys</t>
  </si>
  <si>
    <t>CR0603-FX-8201ELF - https://mou.sr/4qIgw7c</t>
  </si>
  <si>
    <t>RT0603DRD0765K5L - https://mou.sr/3MPLMDg</t>
  </si>
  <si>
    <t>RT0603DRE07160KL - https://mou.sr/4rTJm5k</t>
  </si>
  <si>
    <t>RC0603FR-10200RL - https://mou.sr/3ZHKSvC</t>
  </si>
  <si>
    <t>RN73R1JTTD3202F50 - https://mou.sr/3Okpha6</t>
  </si>
  <si>
    <t>CRCW060317K4FKEAC - https://mou.sr/4rW5MTx</t>
  </si>
  <si>
    <t>INA122UA/2K5 - https://mou.sr/4rlVpsi</t>
  </si>
  <si>
    <t xml:space="preserve"> 1590 / Adafruit - LCD Driver - https://mou.sr/3flqagV</t>
  </si>
  <si>
    <t>1596 / Adafruit - LCD - https://mou.sr/3NU5UAa</t>
  </si>
  <si>
    <t>CR0603-FX-5101ELF - https://mou.sr/4aBpv3T</t>
  </si>
  <si>
    <t>https://www.mouser.com/Tools/SavedCart/Share?AccessID=481e90da45</t>
  </si>
  <si>
    <t>Total Merchandise: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</si>
</sst>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4" fillId="0" borderId="0" xfId="0" applyFont="1"/>
    <xf numFmtId="0" fontId="4" fillId="0" borderId="2" xfId="0" applyFont="1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4" xfId="0" applyBorder="1"/>
    <xf numFmtId="164" fontId="0" fillId="0" borderId="6" xfId="0" applyNumberFormat="1" applyBorder="1"/>
    <xf numFmtId="164" fontId="0" fillId="0" borderId="4" xfId="0" applyNumberFormat="1" applyBorder="1"/>
    <xf numFmtId="0" fontId="1" fillId="0" borderId="0" xfId="0" applyFont="1"/>
    <xf numFmtId="0" fontId="5" fillId="0" borderId="0" xfId="0" applyFont="1"/>
    <xf numFmtId="0" fontId="0" fillId="0" borderId="7" xfId="0" applyBorder="1"/>
    <xf numFmtId="0" fontId="0" fillId="0" borderId="2" xfId="0" applyBorder="1"/>
    <xf numFmtId="0" fontId="7" fillId="0" borderId="0" xfId="0" applyFont="1"/>
    <xf numFmtId="0" fontId="8" fillId="0" borderId="0" xfId="0" applyFont="1"/>
    <xf numFmtId="0" fontId="0" fillId="2" borderId="1" xfId="0" applyFill="1" applyBorder="1"/>
    <xf numFmtId="0" fontId="0" fillId="2" borderId="2" xfId="0" applyFill="1" applyBorder="1"/>
    <xf numFmtId="0" fontId="10" fillId="2" borderId="1" xfId="0" applyFont="1" applyFill="1" applyBorder="1"/>
    <xf numFmtId="0" fontId="11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" xfId="16" applyBorder="1"/>
    <xf numFmtId="164" fontId="0" fillId="0" borderId="1" xfId="0" applyNumberFormat="1" applyBorder="1"/>
    <xf numFmtId="14" fontId="0" fillId="0" borderId="1" xfId="0" applyNumberFormat="1" applyBorder="1"/>
    <xf numFmtId="44" fontId="0" fillId="0" borderId="1" xfId="15" applyFont="1" applyBorder="1"/>
    <xf numFmtId="0" fontId="0" fillId="0" borderId="1" xfId="0" applyBorder="1"/>
    <xf numFmtId="0" fontId="0" fillId="0" borderId="3" xfId="0" applyBorder="1"/>
    <xf numFmtId="0" fontId="0" fillId="0" borderId="9" xfId="0" applyBorder="1"/>
    <xf numFmtId="0" fontId="2" fillId="0" borderId="0" xfId="16"/>
    <xf numFmtId="44" fontId="0" fillId="0" borderId="1" xfId="0" applyNumberFormat="1" applyBorder="1"/>
  </cellXfs>
  <cellStyles count="17">
    <cellStyle name="Currency" xfId="15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6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m/Tools/SavedCart/Share?AccessID=481e90da45" TargetMode="External"/><Relationship Id="rId1" Type="http://schemas.openxmlformats.org/officeDocument/2006/relationships/hyperlink" Target="mailto:atk836@my.utexa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6" zoomScale="86" zoomScaleNormal="150" zoomScalePageLayoutView="150" workbookViewId="0">
      <selection activeCell="H22" sqref="H22"/>
    </sheetView>
  </sheetViews>
  <sheetFormatPr defaultColWidth="11" defaultRowHeight="15.5" x14ac:dyDescent="0.35"/>
  <cols>
    <col min="1" max="1" width="18.33203125" customWidth="1"/>
    <col min="2" max="2" width="44.33203125" customWidth="1"/>
    <col min="3" max="3" width="13.5" customWidth="1"/>
    <col min="4" max="4" width="22.6640625" customWidth="1"/>
    <col min="5" max="5" width="16.83203125" bestFit="1" customWidth="1"/>
    <col min="6" max="6" width="12.83203125" customWidth="1"/>
    <col min="7" max="7" width="12" customWidth="1"/>
  </cols>
  <sheetData>
    <row r="1" spans="1:6" ht="18.5" x14ac:dyDescent="0.45">
      <c r="A1" s="15" t="s">
        <v>8</v>
      </c>
      <c r="B1" s="11"/>
    </row>
    <row r="2" spans="1:6" x14ac:dyDescent="0.35">
      <c r="A2" s="10"/>
      <c r="B2" s="11"/>
    </row>
    <row r="3" spans="1:6" x14ac:dyDescent="0.35">
      <c r="A3" s="11" t="s">
        <v>4</v>
      </c>
      <c r="B3" s="11"/>
    </row>
    <row r="4" spans="1:6" x14ac:dyDescent="0.35">
      <c r="A4" s="16" t="s">
        <v>0</v>
      </c>
      <c r="B4" s="5" t="s">
        <v>22</v>
      </c>
      <c r="C4" s="16" t="s">
        <v>1</v>
      </c>
      <c r="D4" s="23" t="s">
        <v>25</v>
      </c>
      <c r="E4" s="27"/>
      <c r="F4" s="27"/>
    </row>
    <row r="5" spans="1:6" x14ac:dyDescent="0.35">
      <c r="A5" s="18" t="s">
        <v>13</v>
      </c>
      <c r="B5" s="5" t="s">
        <v>26</v>
      </c>
      <c r="C5" s="16" t="s">
        <v>2</v>
      </c>
      <c r="D5" s="5">
        <v>8324958905</v>
      </c>
      <c r="E5" s="27"/>
      <c r="F5" s="27"/>
    </row>
    <row r="6" spans="1:6" x14ac:dyDescent="0.35">
      <c r="A6" s="16" t="s">
        <v>3</v>
      </c>
      <c r="B6" s="5" t="s">
        <v>27</v>
      </c>
      <c r="C6" s="16" t="s">
        <v>9</v>
      </c>
      <c r="D6" s="25">
        <v>46070</v>
      </c>
      <c r="E6" s="27"/>
      <c r="F6" s="27"/>
    </row>
    <row r="7" spans="1:6" x14ac:dyDescent="0.35">
      <c r="A7" s="16" t="s">
        <v>21</v>
      </c>
      <c r="B7" s="5" t="s">
        <v>24</v>
      </c>
      <c r="D7" s="5"/>
      <c r="E7" s="5"/>
    </row>
    <row r="8" spans="1:6" x14ac:dyDescent="0.35">
      <c r="A8" s="2"/>
      <c r="B8" s="19" t="s">
        <v>15</v>
      </c>
    </row>
    <row r="9" spans="1:6" x14ac:dyDescent="0.35">
      <c r="A9" s="2"/>
      <c r="B9" s="3"/>
    </row>
    <row r="10" spans="1:6" x14ac:dyDescent="0.35">
      <c r="B10" s="4"/>
    </row>
    <row r="12" spans="1:6" x14ac:dyDescent="0.35">
      <c r="A12" s="11" t="s">
        <v>5</v>
      </c>
      <c r="C12" s="14" t="s">
        <v>12</v>
      </c>
    </row>
    <row r="13" spans="1:6" x14ac:dyDescent="0.35">
      <c r="A13" s="16" t="s">
        <v>6</v>
      </c>
      <c r="B13" s="5" t="s">
        <v>23</v>
      </c>
      <c r="C13" s="20" t="s">
        <v>28</v>
      </c>
      <c r="D13" s="22"/>
      <c r="E13" s="29"/>
      <c r="F13" s="27"/>
    </row>
    <row r="14" spans="1:6" x14ac:dyDescent="0.35">
      <c r="A14" s="7"/>
      <c r="B14" s="6"/>
      <c r="C14" s="30" t="s">
        <v>53</v>
      </c>
      <c r="D14" s="21"/>
      <c r="E14" s="29"/>
      <c r="F14" s="27"/>
    </row>
    <row r="15" spans="1:6" x14ac:dyDescent="0.35">
      <c r="A15" s="7"/>
      <c r="B15" s="6"/>
      <c r="C15" s="27"/>
      <c r="D15" s="28"/>
      <c r="E15" s="27"/>
      <c r="F15" s="27"/>
    </row>
    <row r="16" spans="1:6" x14ac:dyDescent="0.35">
      <c r="A16" s="7"/>
      <c r="B16" s="6"/>
    </row>
    <row r="17" spans="1:7" x14ac:dyDescent="0.35">
      <c r="A17" s="4"/>
      <c r="B17" s="12"/>
    </row>
    <row r="18" spans="1:7" x14ac:dyDescent="0.35">
      <c r="A18" s="16" t="s">
        <v>11</v>
      </c>
      <c r="B18" s="5" t="s">
        <v>29</v>
      </c>
    </row>
    <row r="19" spans="1:7" x14ac:dyDescent="0.35">
      <c r="B19" s="10" t="s">
        <v>10</v>
      </c>
    </row>
    <row r="20" spans="1:7" x14ac:dyDescent="0.35">
      <c r="B20" s="10" t="s">
        <v>7</v>
      </c>
    </row>
    <row r="21" spans="1:7" x14ac:dyDescent="0.35">
      <c r="A21" s="17" t="s">
        <v>16</v>
      </c>
      <c r="B21" s="17" t="s">
        <v>17</v>
      </c>
      <c r="C21" s="17" t="s">
        <v>18</v>
      </c>
      <c r="D21" s="13" t="s">
        <v>14</v>
      </c>
      <c r="E21" s="17" t="s">
        <v>20</v>
      </c>
      <c r="F21" s="17" t="s">
        <v>19</v>
      </c>
    </row>
    <row r="22" spans="1:7" ht="16" thickBot="1" x14ac:dyDescent="0.4">
      <c r="A22" s="5">
        <v>1</v>
      </c>
      <c r="B22" s="5" t="s">
        <v>33</v>
      </c>
      <c r="C22" s="5">
        <v>50</v>
      </c>
      <c r="D22" s="5" t="s">
        <v>30</v>
      </c>
      <c r="E22" s="5">
        <v>3.5000000000000003E-2</v>
      </c>
      <c r="F22" s="24">
        <f>C22*E22</f>
        <v>1.7500000000000002</v>
      </c>
      <c r="G22" s="8"/>
    </row>
    <row r="23" spans="1:7" x14ac:dyDescent="0.35">
      <c r="A23" s="5">
        <v>2</v>
      </c>
      <c r="B23" s="5" t="s">
        <v>34</v>
      </c>
      <c r="C23" s="5">
        <v>10</v>
      </c>
      <c r="D23" s="5" t="s">
        <v>30</v>
      </c>
      <c r="E23" s="5">
        <v>0.626</v>
      </c>
      <c r="F23" s="24">
        <f t="shared" ref="F23:F41" si="0">C23*E23</f>
        <v>6.26</v>
      </c>
      <c r="G23" s="9"/>
    </row>
    <row r="24" spans="1:7" x14ac:dyDescent="0.35">
      <c r="A24" s="5">
        <v>3</v>
      </c>
      <c r="B24" s="5" t="s">
        <v>35</v>
      </c>
      <c r="C24" s="5">
        <v>10</v>
      </c>
      <c r="D24" s="5" t="s">
        <v>30</v>
      </c>
      <c r="E24" s="5">
        <v>0.44700000000000001</v>
      </c>
      <c r="F24" s="24">
        <f t="shared" si="0"/>
        <v>4.47</v>
      </c>
      <c r="G24" s="9"/>
    </row>
    <row r="25" spans="1:7" x14ac:dyDescent="0.35">
      <c r="A25" s="5">
        <v>4</v>
      </c>
      <c r="B25" s="5" t="s">
        <v>36</v>
      </c>
      <c r="C25" s="5">
        <v>10</v>
      </c>
      <c r="D25" s="5" t="s">
        <v>30</v>
      </c>
      <c r="E25" s="5">
        <v>0.42099999999999999</v>
      </c>
      <c r="F25" s="24">
        <f t="shared" si="0"/>
        <v>4.21</v>
      </c>
      <c r="G25" s="9"/>
    </row>
    <row r="26" spans="1:7" x14ac:dyDescent="0.35">
      <c r="A26" s="5">
        <v>5</v>
      </c>
      <c r="B26" s="5" t="s">
        <v>37</v>
      </c>
      <c r="C26" s="5">
        <v>10</v>
      </c>
      <c r="D26" s="5" t="s">
        <v>30</v>
      </c>
      <c r="E26" s="5">
        <v>6.3E-2</v>
      </c>
      <c r="F26" s="24">
        <f t="shared" si="0"/>
        <v>0.63</v>
      </c>
      <c r="G26" s="9"/>
    </row>
    <row r="27" spans="1:7" x14ac:dyDescent="0.35">
      <c r="A27" s="5">
        <v>6</v>
      </c>
      <c r="B27" s="5" t="s">
        <v>38</v>
      </c>
      <c r="C27" s="5">
        <v>50</v>
      </c>
      <c r="D27" s="5" t="s">
        <v>30</v>
      </c>
      <c r="E27" s="5">
        <v>0.06</v>
      </c>
      <c r="F27" s="24">
        <f t="shared" si="0"/>
        <v>3</v>
      </c>
      <c r="G27" s="9"/>
    </row>
    <row r="28" spans="1:7" x14ac:dyDescent="0.35">
      <c r="A28" s="5">
        <v>7</v>
      </c>
      <c r="B28" s="5" t="s">
        <v>39</v>
      </c>
      <c r="C28" s="5">
        <v>10</v>
      </c>
      <c r="D28" s="5" t="s">
        <v>30</v>
      </c>
      <c r="E28" s="5">
        <v>7.8E-2</v>
      </c>
      <c r="F28" s="24">
        <f t="shared" si="0"/>
        <v>0.78</v>
      </c>
      <c r="G28" s="9"/>
    </row>
    <row r="29" spans="1:7" x14ac:dyDescent="0.35">
      <c r="A29" s="5">
        <v>8</v>
      </c>
      <c r="B29" s="5" t="s">
        <v>40</v>
      </c>
      <c r="C29" s="5">
        <v>25</v>
      </c>
      <c r="D29" s="5" t="s">
        <v>30</v>
      </c>
      <c r="E29" s="5">
        <v>0.16200000000000001</v>
      </c>
      <c r="F29" s="24">
        <f t="shared" si="0"/>
        <v>4.05</v>
      </c>
      <c r="G29" s="9"/>
    </row>
    <row r="30" spans="1:7" x14ac:dyDescent="0.35">
      <c r="A30" s="5">
        <v>9</v>
      </c>
      <c r="B30" s="5" t="s">
        <v>41</v>
      </c>
      <c r="C30" s="5">
        <v>30</v>
      </c>
      <c r="D30" s="5" t="s">
        <v>30</v>
      </c>
      <c r="E30" s="5">
        <v>0.06</v>
      </c>
      <c r="F30" s="24">
        <f t="shared" si="0"/>
        <v>1.7999999999999998</v>
      </c>
      <c r="G30" s="9"/>
    </row>
    <row r="31" spans="1:7" x14ac:dyDescent="0.35">
      <c r="A31" s="5">
        <v>10</v>
      </c>
      <c r="B31" s="5" t="s">
        <v>42</v>
      </c>
      <c r="C31" s="5">
        <v>20</v>
      </c>
      <c r="D31" s="5" t="s">
        <v>30</v>
      </c>
      <c r="E31" s="5">
        <v>0.02</v>
      </c>
      <c r="F31" s="24">
        <f t="shared" si="0"/>
        <v>0.4</v>
      </c>
      <c r="G31" s="9"/>
    </row>
    <row r="32" spans="1:7" x14ac:dyDescent="0.35">
      <c r="A32" s="5">
        <v>11</v>
      </c>
      <c r="B32" s="5" t="s">
        <v>43</v>
      </c>
      <c r="C32" s="5">
        <v>10</v>
      </c>
      <c r="D32" s="5" t="s">
        <v>30</v>
      </c>
      <c r="E32" s="5">
        <v>1.0999999999999999E-2</v>
      </c>
      <c r="F32" s="24">
        <f t="shared" si="0"/>
        <v>0.10999999999999999</v>
      </c>
      <c r="G32" s="9"/>
    </row>
    <row r="33" spans="1:7" x14ac:dyDescent="0.35">
      <c r="A33" s="5">
        <v>12</v>
      </c>
      <c r="B33" s="5" t="s">
        <v>44</v>
      </c>
      <c r="C33" s="5">
        <v>10</v>
      </c>
      <c r="D33" s="5" t="s">
        <v>30</v>
      </c>
      <c r="E33" s="5">
        <v>3.2000000000000001E-2</v>
      </c>
      <c r="F33" s="24">
        <f t="shared" si="0"/>
        <v>0.32</v>
      </c>
      <c r="G33" s="9"/>
    </row>
    <row r="34" spans="1:7" x14ac:dyDescent="0.35">
      <c r="A34" s="5">
        <v>13</v>
      </c>
      <c r="B34" s="5" t="s">
        <v>45</v>
      </c>
      <c r="C34" s="5">
        <v>20</v>
      </c>
      <c r="D34" s="5" t="s">
        <v>30</v>
      </c>
      <c r="E34" s="5">
        <v>1.4999999999999999E-2</v>
      </c>
      <c r="F34" s="24">
        <f t="shared" si="0"/>
        <v>0.3</v>
      </c>
      <c r="G34" s="1"/>
    </row>
    <row r="35" spans="1:7" x14ac:dyDescent="0.35">
      <c r="A35" s="5">
        <v>14</v>
      </c>
      <c r="B35" s="5" t="s">
        <v>46</v>
      </c>
      <c r="C35" s="5">
        <v>20</v>
      </c>
      <c r="D35" s="5" t="s">
        <v>30</v>
      </c>
      <c r="E35" s="5">
        <v>7.0000000000000001E-3</v>
      </c>
      <c r="F35" s="24">
        <f t="shared" si="0"/>
        <v>0.14000000000000001</v>
      </c>
    </row>
    <row r="36" spans="1:7" x14ac:dyDescent="0.35">
      <c r="A36" s="5">
        <v>15</v>
      </c>
      <c r="B36" s="5" t="s">
        <v>47</v>
      </c>
      <c r="C36" s="5">
        <v>25</v>
      </c>
      <c r="D36" s="5" t="s">
        <v>30</v>
      </c>
      <c r="E36" s="5">
        <v>7.1999999999999995E-2</v>
      </c>
      <c r="F36" s="24">
        <f t="shared" si="0"/>
        <v>1.7999999999999998</v>
      </c>
    </row>
    <row r="37" spans="1:7" x14ac:dyDescent="0.35">
      <c r="A37" s="5">
        <v>16</v>
      </c>
      <c r="B37" s="5" t="s">
        <v>48</v>
      </c>
      <c r="C37" s="5">
        <v>20</v>
      </c>
      <c r="D37" s="5" t="s">
        <v>30</v>
      </c>
      <c r="E37" s="5">
        <v>5.8000000000000003E-2</v>
      </c>
      <c r="F37" s="24">
        <f t="shared" si="0"/>
        <v>1.1600000000000001</v>
      </c>
    </row>
    <row r="38" spans="1:7" x14ac:dyDescent="0.35">
      <c r="A38" s="5">
        <v>17</v>
      </c>
      <c r="B38" s="5" t="s">
        <v>49</v>
      </c>
      <c r="C38" s="5">
        <v>10</v>
      </c>
      <c r="D38" s="5" t="s">
        <v>30</v>
      </c>
      <c r="E38" s="5">
        <v>5.17</v>
      </c>
      <c r="F38" s="24">
        <f t="shared" si="0"/>
        <v>51.7</v>
      </c>
    </row>
    <row r="39" spans="1:7" x14ac:dyDescent="0.35">
      <c r="A39" s="5">
        <v>18</v>
      </c>
      <c r="B39" s="5" t="s">
        <v>50</v>
      </c>
      <c r="C39" s="5">
        <v>2</v>
      </c>
      <c r="D39" s="5" t="s">
        <v>30</v>
      </c>
      <c r="E39" s="5">
        <v>39.950000000000003</v>
      </c>
      <c r="F39" s="24">
        <f t="shared" si="0"/>
        <v>79.900000000000006</v>
      </c>
    </row>
    <row r="40" spans="1:7" x14ac:dyDescent="0.35">
      <c r="A40" s="5">
        <v>19</v>
      </c>
      <c r="B40" s="5" t="s">
        <v>51</v>
      </c>
      <c r="C40" s="5">
        <v>2</v>
      </c>
      <c r="D40" s="5" t="s">
        <v>30</v>
      </c>
      <c r="E40" s="5">
        <v>29.95</v>
      </c>
      <c r="F40" s="24">
        <f t="shared" si="0"/>
        <v>59.9</v>
      </c>
    </row>
    <row r="41" spans="1:7" x14ac:dyDescent="0.35">
      <c r="A41" s="5">
        <v>20</v>
      </c>
      <c r="B41" s="5" t="s">
        <v>52</v>
      </c>
      <c r="C41" s="5">
        <v>20</v>
      </c>
      <c r="D41" s="5" t="s">
        <v>30</v>
      </c>
      <c r="E41" s="5">
        <v>1.0999999999999999E-2</v>
      </c>
      <c r="F41" s="24">
        <f t="shared" si="0"/>
        <v>0.21999999999999997</v>
      </c>
    </row>
    <row r="42" spans="1:7" x14ac:dyDescent="0.35">
      <c r="E42" s="5" t="s">
        <v>31</v>
      </c>
      <c r="F42" s="26">
        <v>4.95</v>
      </c>
    </row>
    <row r="43" spans="1:7" x14ac:dyDescent="0.35">
      <c r="E43" s="5" t="s">
        <v>54</v>
      </c>
      <c r="F43" s="24">
        <f>SUM(F22:F41)</f>
        <v>222.90000000000003</v>
      </c>
    </row>
    <row r="44" spans="1:7" x14ac:dyDescent="0.35">
      <c r="E44" s="5" t="s">
        <v>32</v>
      </c>
      <c r="F44" s="31">
        <f>SUM(F42:F43)</f>
        <v>227.85000000000002</v>
      </c>
    </row>
  </sheetData>
  <mergeCells count="7">
    <mergeCell ref="C15:D15"/>
    <mergeCell ref="E4:F4"/>
    <mergeCell ref="E5:F5"/>
    <mergeCell ref="E6:F6"/>
    <mergeCell ref="E13:F13"/>
    <mergeCell ref="E14:F14"/>
    <mergeCell ref="E15:F15"/>
  </mergeCells>
  <phoneticPr fontId="6" type="noConversion"/>
  <hyperlinks>
    <hyperlink ref="D4" r:id="rId1" xr:uid="{34D611E8-6A26-4C37-800D-626CE00089E5}"/>
    <hyperlink ref="C14" r:id="rId2" xr:uid="{A0FB1489-4766-4FDB-8D21-D45BDF988BBD}"/>
  </hyperlinks>
  <pageMargins left="0.75" right="0.75" top="0.5" bottom="1" header="0.5" footer="0.5"/>
  <pageSetup orientation="landscape" horizontalDpi="4294967292" verticalDpi="4294967292"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Becker</dc:creator>
  <cp:lastModifiedBy>Knecht, Ashton</cp:lastModifiedBy>
  <cp:lastPrinted>2011-08-30T16:51:04Z</cp:lastPrinted>
  <dcterms:created xsi:type="dcterms:W3CDTF">2011-08-30T14:56:36Z</dcterms:created>
  <dcterms:modified xsi:type="dcterms:W3CDTF">2026-02-17T22:26:26Z</dcterms:modified>
</cp:coreProperties>
</file>