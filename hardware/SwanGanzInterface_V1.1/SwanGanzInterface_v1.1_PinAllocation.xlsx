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shto\Dev\SeniorDesign_SwanGanz\hardware\SwanGanzInterface_V1.1\"/>
    </mc:Choice>
  </mc:AlternateContent>
  <xr:revisionPtr revIDLastSave="0" documentId="13_ncr:1_{9FCB407C-047D-4B8F-8BB5-EF9BD8170BF7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Device Comparision" sheetId="2" r:id="rId1"/>
    <sheet name="Pin Requirements" sheetId="4" r:id="rId2"/>
    <sheet name="PT - 48 LQFP" sheetId="5" r:id="rId3"/>
    <sheet name="DGS28 - 28 VSSOP" sheetId="3" r:id="rId4"/>
    <sheet name="Pin Allocation v1.0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4" l="1"/>
  <c r="C37" i="1"/>
</calcChain>
</file>

<file path=xl/sharedStrings.xml><?xml version="1.0" encoding="utf-8"?>
<sst xmlns="http://schemas.openxmlformats.org/spreadsheetml/2006/main" count="334" uniqueCount="229">
  <si>
    <t>Pin</t>
  </si>
  <si>
    <t>Purpose</t>
  </si>
  <si>
    <t>PA8</t>
  </si>
  <si>
    <t>PA10</t>
  </si>
  <si>
    <t>PA11</t>
  </si>
  <si>
    <t>PA12</t>
  </si>
  <si>
    <t>PA13</t>
  </si>
  <si>
    <t>PA15</t>
  </si>
  <si>
    <t>PA16</t>
  </si>
  <si>
    <t>PA17</t>
  </si>
  <si>
    <t>PA18</t>
  </si>
  <si>
    <t>PA22</t>
  </si>
  <si>
    <t>PA24</t>
  </si>
  <si>
    <t>PA25</t>
  </si>
  <si>
    <t>PA26</t>
  </si>
  <si>
    <t>PA27</t>
  </si>
  <si>
    <t>PA28</t>
  </si>
  <si>
    <t>PA31</t>
  </si>
  <si>
    <t>PB0</t>
  </si>
  <si>
    <t>PB1</t>
  </si>
  <si>
    <t>PB2</t>
  </si>
  <si>
    <t>NA</t>
  </si>
  <si>
    <t>PB3</t>
  </si>
  <si>
    <t>PB4</t>
  </si>
  <si>
    <t>PB6</t>
  </si>
  <si>
    <t>PB7</t>
  </si>
  <si>
    <t>PB8</t>
  </si>
  <si>
    <t>PB9</t>
  </si>
  <si>
    <t>PB12</t>
  </si>
  <si>
    <t>PB13</t>
  </si>
  <si>
    <t>PB15</t>
  </si>
  <si>
    <t>PB16</t>
  </si>
  <si>
    <t>PB17</t>
  </si>
  <si>
    <t>PB18</t>
  </si>
  <si>
    <t>PB19</t>
  </si>
  <si>
    <t>PB20</t>
  </si>
  <si>
    <t>PB24</t>
  </si>
  <si>
    <t>PB23</t>
  </si>
  <si>
    <t>UART_TX</t>
  </si>
  <si>
    <t>DEBUG</t>
  </si>
  <si>
    <t>LED</t>
  </si>
  <si>
    <t>PC2_LG</t>
  </si>
  <si>
    <t>PC2_HG</t>
  </si>
  <si>
    <t>THERM_HG</t>
  </si>
  <si>
    <t>PC1_HG</t>
  </si>
  <si>
    <t>PC1_LG</t>
  </si>
  <si>
    <t>THERM_LG</t>
  </si>
  <si>
    <t>LCD_INT</t>
  </si>
  <si>
    <t>LCD_CS</t>
  </si>
  <si>
    <t>LCD_MISO</t>
  </si>
  <si>
    <t>LCD_MOSI</t>
  </si>
  <si>
    <t>LCD_SCLK</t>
  </si>
  <si>
    <t>SW_MODE</t>
  </si>
  <si>
    <t>SW_ENTER</t>
  </si>
  <si>
    <t>LCD_RST</t>
  </si>
  <si>
    <t>LCD_WAIT</t>
  </si>
  <si>
    <t>UART_RX</t>
  </si>
  <si>
    <t>isAllocated</t>
  </si>
  <si>
    <t>SUM :</t>
  </si>
  <si>
    <t>M0G3507QPMRQ1</t>
  </si>
  <si>
    <t>Part Number</t>
  </si>
  <si>
    <t>M0G3507QPTRQ1</t>
  </si>
  <si>
    <t>M0G3507QRGZRQ1</t>
  </si>
  <si>
    <t>M0G3507QRHBRQ1</t>
  </si>
  <si>
    <t>M0G3507QDGS32RQ1</t>
  </si>
  <si>
    <t>M0G3507QDGS28RQ1</t>
  </si>
  <si>
    <t>SRAM (KB)</t>
  </si>
  <si>
    <t>Flash (KB)</t>
  </si>
  <si>
    <t>ADC</t>
  </si>
  <si>
    <t>ADC Channels</t>
  </si>
  <si>
    <t>COMP</t>
  </si>
  <si>
    <t>Number of Pins</t>
  </si>
  <si>
    <t>TIMA</t>
  </si>
  <si>
    <t>TIMG</t>
  </si>
  <si>
    <t>GPIO</t>
  </si>
  <si>
    <t>Package</t>
  </si>
  <si>
    <t>64 LQFP</t>
  </si>
  <si>
    <t>48 LQFP</t>
  </si>
  <si>
    <t>Size</t>
  </si>
  <si>
    <t>12mm x 12mm</t>
  </si>
  <si>
    <t>9mm x 9mm</t>
  </si>
  <si>
    <t>7mm x 7mm</t>
  </si>
  <si>
    <t>5mm x 5mm</t>
  </si>
  <si>
    <t>8.1mm x 4.9mm</t>
  </si>
  <si>
    <t>7.1mm x 3mm</t>
  </si>
  <si>
    <t>48 VQFN</t>
  </si>
  <si>
    <t>32 VQFN</t>
  </si>
  <si>
    <t>32 VSSOP</t>
  </si>
  <si>
    <t>28 VSSOP</t>
  </si>
  <si>
    <t>Pin Number</t>
  </si>
  <si>
    <t>Pin Function</t>
  </si>
  <si>
    <t>SGI v1.1 Funciton</t>
  </si>
  <si>
    <t>PA26 / A0.1</t>
  </si>
  <si>
    <t>PA27 / RTC_OUT / A0.0</t>
  </si>
  <si>
    <t>VCORE</t>
  </si>
  <si>
    <t>PA0</t>
  </si>
  <si>
    <t>PA1</t>
  </si>
  <si>
    <t>NRST</t>
  </si>
  <si>
    <t>VDD</t>
  </si>
  <si>
    <t>VSS</t>
  </si>
  <si>
    <t>PA2 / ROSC</t>
  </si>
  <si>
    <t>PA3 / LFXIN</t>
  </si>
  <si>
    <t>PA4 / LFCLK_IN / LFXOUT</t>
  </si>
  <si>
    <t>PA5 / HFXIN / FCC_IN</t>
  </si>
  <si>
    <t>PA6 / HFCLK_IN / HFXOUT</t>
  </si>
  <si>
    <t>PA9 / RTC_OUT / CLK_OUT</t>
  </si>
  <si>
    <t>PA10 / CLK_OUT</t>
  </si>
  <si>
    <t>PA14 / CLK_OUT / A0.12</t>
  </si>
  <si>
    <t>PA15 / A1.0</t>
  </si>
  <si>
    <t>PA16 / A1.1 / FCC_IN</t>
  </si>
  <si>
    <t>PA17 / A1.2</t>
  </si>
  <si>
    <t>PA18 / A1.3</t>
  </si>
  <si>
    <t>PA19 / SWDIO</t>
  </si>
  <si>
    <t>PA20 / SWCLK</t>
  </si>
  <si>
    <t>PA21 / A1.7 / VREF-</t>
  </si>
  <si>
    <t>PA22 / CLK_OUT / A0.7</t>
  </si>
  <si>
    <t>PA23 / VREF+</t>
  </si>
  <si>
    <t>PA25 / A0.2</t>
  </si>
  <si>
    <t>PA24 / A0.3</t>
  </si>
  <si>
    <t>Pin Name</t>
  </si>
  <si>
    <t>Discription</t>
  </si>
  <si>
    <t>Input for high-frequency crystal oscillator</t>
  </si>
  <si>
    <t>HFXOUT</t>
  </si>
  <si>
    <t>Output for high-frequency crystal oscillator</t>
  </si>
  <si>
    <t>ROSC</t>
  </si>
  <si>
    <t>External resistor used for improiving oscillator accuracy</t>
  </si>
  <si>
    <t>QTY</t>
  </si>
  <si>
    <t>Debug GPIO</t>
  </si>
  <si>
    <t>Therm_ADC</t>
  </si>
  <si>
    <t>P1_ADC</t>
  </si>
  <si>
    <t>P2_ADC</t>
  </si>
  <si>
    <t>ADC inputs for p1 circuit</t>
  </si>
  <si>
    <t>ADC inputs for thermistor circuit</t>
  </si>
  <si>
    <t>ADC inputs for p2 circuit</t>
  </si>
  <si>
    <t>SPI SysClk for LCD driver</t>
  </si>
  <si>
    <t>SPI MISO for LCD driver</t>
  </si>
  <si>
    <t>LCD MOSI</t>
  </si>
  <si>
    <t>SPI MOSI for LCD driver</t>
  </si>
  <si>
    <t>GPIO chip select for LCD driver</t>
  </si>
  <si>
    <t>GPIO reset for LCD driver</t>
  </si>
  <si>
    <t>LCD_TS</t>
  </si>
  <si>
    <t>ADC inputs for LCD touch screen</t>
  </si>
  <si>
    <t>GPIO input specifiying the interrupt status of LCD driver</t>
  </si>
  <si>
    <t>GPIO input specifiying the busy state of the LCD driver</t>
  </si>
  <si>
    <t>UART_Rx</t>
  </si>
  <si>
    <t>UART receive for UART to USB converter</t>
  </si>
  <si>
    <t>UART_Tx</t>
  </si>
  <si>
    <t>UART transmit for UART to USB converter</t>
  </si>
  <si>
    <t>SW_IN</t>
  </si>
  <si>
    <t>GPIO inputs for tactile switches</t>
  </si>
  <si>
    <t>GPIO outputs to control LED outputs</t>
  </si>
  <si>
    <t>USB_CONN</t>
  </si>
  <si>
    <t>GPIO input to determine if USB is connected</t>
  </si>
  <si>
    <t>GPIO outputs for debugging</t>
  </si>
  <si>
    <t>Total</t>
  </si>
  <si>
    <t>SGI v1.1 Function</t>
  </si>
  <si>
    <t>Pin Function Select</t>
  </si>
  <si>
    <t>PA0 / FCC_IN</t>
  </si>
  <si>
    <t>PA31 / CLK_OUT</t>
  </si>
  <si>
    <t>PA3 / CMP1_OUT / LFXIN</t>
  </si>
  <si>
    <t>PA7 / CLK_OUT</t>
  </si>
  <si>
    <t>PB14</t>
  </si>
  <si>
    <t>PA12 / FCC_IN</t>
  </si>
  <si>
    <t>PB17 / A1.4</t>
  </si>
  <si>
    <t>PB18 / A1.5</t>
  </si>
  <si>
    <t>PB19 / A1.6</t>
  </si>
  <si>
    <t>PB20 / A0.6</t>
  </si>
  <si>
    <t>PB24 / A0.5</t>
  </si>
  <si>
    <t>PA25 / A0.2 / OPA0_IN+</t>
  </si>
  <si>
    <t>HFXTIN</t>
  </si>
  <si>
    <t>TRM PAGE</t>
  </si>
  <si>
    <t>TRM SECTION</t>
  </si>
  <si>
    <t>2.3.1.6 High Frequency Crystal Oscillator (HFXT)</t>
  </si>
  <si>
    <t>HFXIN</t>
  </si>
  <si>
    <t>VREF+</t>
  </si>
  <si>
    <t>VREF-</t>
  </si>
  <si>
    <t>USB_Tx</t>
  </si>
  <si>
    <t>USB_Rx</t>
  </si>
  <si>
    <t>GPIO - Input</t>
  </si>
  <si>
    <t>GPIO - Output</t>
  </si>
  <si>
    <t>A0.1</t>
  </si>
  <si>
    <t>A0.0</t>
  </si>
  <si>
    <t>P1_LG</t>
  </si>
  <si>
    <t>P2_LG</t>
  </si>
  <si>
    <t>P1_HG</t>
  </si>
  <si>
    <t>P2_HG</t>
  </si>
  <si>
    <t>PT - Assigned</t>
  </si>
  <si>
    <t>A1.3</t>
  </si>
  <si>
    <t>SWDIO</t>
  </si>
  <si>
    <t>SWCLK</t>
  </si>
  <si>
    <t>A1.4</t>
  </si>
  <si>
    <t>A1.5</t>
  </si>
  <si>
    <t>LED_WORKING</t>
  </si>
  <si>
    <t>LED_ERROR</t>
  </si>
  <si>
    <t>Serial wire debug input clock</t>
  </si>
  <si>
    <t>Serial wire debug data input/output</t>
  </si>
  <si>
    <t>SPI1_SCK</t>
  </si>
  <si>
    <t>SPI1_PICO</t>
  </si>
  <si>
    <t>LCD_PICO</t>
  </si>
  <si>
    <t>SPI1_POIC</t>
  </si>
  <si>
    <t>LCD_POCI</t>
  </si>
  <si>
    <t>SPI1_CS0</t>
  </si>
  <si>
    <t>UART1_TX</t>
  </si>
  <si>
    <t>UART1_RX</t>
  </si>
  <si>
    <t>DEBUG 4</t>
  </si>
  <si>
    <t>DEBUG 5</t>
  </si>
  <si>
    <t>DEBUG 6</t>
  </si>
  <si>
    <t>DEBUG 7</t>
  </si>
  <si>
    <t>DEBUG 8</t>
  </si>
  <si>
    <t>GPIO OUTPUT</t>
  </si>
  <si>
    <t>DAC</t>
  </si>
  <si>
    <t>SPEAKER</t>
  </si>
  <si>
    <t>A1.6</t>
  </si>
  <si>
    <t>USB_CTS</t>
  </si>
  <si>
    <t>UART1_CTS</t>
  </si>
  <si>
    <t>UART1_RTS</t>
  </si>
  <si>
    <t>USB_RTS</t>
  </si>
  <si>
    <t>DEBUG1</t>
  </si>
  <si>
    <t>DEBUG2</t>
  </si>
  <si>
    <t>DEBUG3</t>
  </si>
  <si>
    <t>TOUCH_SCK</t>
  </si>
  <si>
    <t>TOUCH_PICO</t>
  </si>
  <si>
    <t>SPI0_SCK</t>
  </si>
  <si>
    <t>SPI0_POCI</t>
  </si>
  <si>
    <t>TOUCH_POCI</t>
  </si>
  <si>
    <t>SPI0_PICO</t>
  </si>
  <si>
    <t>TOUCH_CS</t>
  </si>
  <si>
    <t>SPI0_CS3</t>
  </si>
  <si>
    <t>PENIRQ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</si>
</sst>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6C6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C523F-0BD7-4B46-B60C-E63BF843905A}">
  <dimension ref="A1:L7"/>
  <sheetViews>
    <sheetView workbookViewId="0">
      <selection activeCell="B8" sqref="B8"/>
    </sheetView>
  </sheetViews>
  <sheetFormatPr defaultRowHeight="14.5" x14ac:dyDescent="0.35"/>
  <cols>
    <col min="1" max="1" width="19.26953125" bestFit="1" customWidth="1"/>
    <col min="2" max="2" width="8.90625" bestFit="1" customWidth="1"/>
    <col min="3" max="3" width="9.54296875" bestFit="1" customWidth="1"/>
    <col min="5" max="5" width="12.453125" bestFit="1" customWidth="1"/>
    <col min="9" max="10" width="13.7265625" bestFit="1" customWidth="1"/>
    <col min="11" max="11" width="8.54296875" bestFit="1" customWidth="1"/>
  </cols>
  <sheetData>
    <row r="1" spans="1:12" x14ac:dyDescent="0.35">
      <c r="A1" t="s">
        <v>60</v>
      </c>
      <c r="B1" t="s">
        <v>67</v>
      </c>
      <c r="C1" t="s">
        <v>66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71</v>
      </c>
      <c r="K1" t="s">
        <v>75</v>
      </c>
      <c r="L1" t="s">
        <v>78</v>
      </c>
    </row>
    <row r="2" spans="1:12" x14ac:dyDescent="0.35">
      <c r="A2" t="s">
        <v>59</v>
      </c>
      <c r="B2">
        <v>128</v>
      </c>
      <c r="C2">
        <v>32</v>
      </c>
      <c r="D2">
        <v>2</v>
      </c>
      <c r="E2">
        <v>17</v>
      </c>
      <c r="F2">
        <v>3</v>
      </c>
      <c r="G2">
        <v>2</v>
      </c>
      <c r="H2">
        <v>5</v>
      </c>
      <c r="I2">
        <v>60</v>
      </c>
      <c r="J2">
        <v>64</v>
      </c>
      <c r="K2" t="s">
        <v>76</v>
      </c>
      <c r="L2" t="s">
        <v>79</v>
      </c>
    </row>
    <row r="3" spans="1:12" x14ac:dyDescent="0.35">
      <c r="A3" s="2" t="s">
        <v>61</v>
      </c>
      <c r="B3">
        <v>128</v>
      </c>
      <c r="C3">
        <v>32</v>
      </c>
      <c r="D3">
        <v>2</v>
      </c>
      <c r="E3">
        <v>16</v>
      </c>
      <c r="F3">
        <v>3</v>
      </c>
      <c r="G3">
        <v>2</v>
      </c>
      <c r="H3">
        <v>5</v>
      </c>
      <c r="I3">
        <v>44</v>
      </c>
      <c r="J3">
        <v>48</v>
      </c>
      <c r="K3" t="s">
        <v>77</v>
      </c>
      <c r="L3" t="s">
        <v>80</v>
      </c>
    </row>
    <row r="4" spans="1:12" x14ac:dyDescent="0.35">
      <c r="A4" s="1" t="s">
        <v>62</v>
      </c>
      <c r="B4">
        <v>128</v>
      </c>
      <c r="C4">
        <v>32</v>
      </c>
      <c r="D4">
        <v>2</v>
      </c>
      <c r="E4">
        <v>16</v>
      </c>
      <c r="F4">
        <v>3</v>
      </c>
      <c r="G4">
        <v>2</v>
      </c>
      <c r="H4">
        <v>5</v>
      </c>
      <c r="I4">
        <v>44</v>
      </c>
      <c r="J4">
        <v>48</v>
      </c>
      <c r="K4" s="1" t="s">
        <v>85</v>
      </c>
      <c r="L4" t="s">
        <v>81</v>
      </c>
    </row>
    <row r="5" spans="1:12" x14ac:dyDescent="0.35">
      <c r="A5" s="1" t="s">
        <v>63</v>
      </c>
      <c r="B5">
        <v>128</v>
      </c>
      <c r="C5">
        <v>32</v>
      </c>
      <c r="D5">
        <v>2</v>
      </c>
      <c r="E5">
        <v>11</v>
      </c>
      <c r="F5">
        <v>3</v>
      </c>
      <c r="G5">
        <v>2</v>
      </c>
      <c r="H5">
        <v>5</v>
      </c>
      <c r="I5">
        <v>28</v>
      </c>
      <c r="J5">
        <v>32</v>
      </c>
      <c r="K5" s="1" t="s">
        <v>86</v>
      </c>
      <c r="L5" t="s">
        <v>82</v>
      </c>
    </row>
    <row r="6" spans="1:12" x14ac:dyDescent="0.35">
      <c r="A6" t="s">
        <v>64</v>
      </c>
      <c r="B6">
        <v>128</v>
      </c>
      <c r="C6">
        <v>32</v>
      </c>
      <c r="D6">
        <v>2</v>
      </c>
      <c r="E6">
        <v>11</v>
      </c>
      <c r="F6">
        <v>3</v>
      </c>
      <c r="G6">
        <v>2</v>
      </c>
      <c r="H6">
        <v>5</v>
      </c>
      <c r="I6">
        <v>28</v>
      </c>
      <c r="J6">
        <v>32</v>
      </c>
      <c r="K6" t="s">
        <v>87</v>
      </c>
      <c r="L6" t="s">
        <v>83</v>
      </c>
    </row>
    <row r="7" spans="1:12" x14ac:dyDescent="0.35">
      <c r="A7" t="s">
        <v>65</v>
      </c>
      <c r="B7">
        <v>128</v>
      </c>
      <c r="C7">
        <v>32</v>
      </c>
      <c r="D7">
        <v>2</v>
      </c>
      <c r="E7">
        <v>11</v>
      </c>
      <c r="F7">
        <v>3</v>
      </c>
      <c r="G7">
        <v>2</v>
      </c>
      <c r="H7">
        <v>5</v>
      </c>
      <c r="I7">
        <v>24</v>
      </c>
      <c r="J7">
        <v>28</v>
      </c>
      <c r="K7" t="s">
        <v>88</v>
      </c>
      <c r="L7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C5E4A-A5B7-4659-9F92-160B4C389A21}">
  <dimension ref="A1:F24"/>
  <sheetViews>
    <sheetView workbookViewId="0">
      <selection activeCell="A22" sqref="A22"/>
    </sheetView>
  </sheetViews>
  <sheetFormatPr defaultRowHeight="14.5" x14ac:dyDescent="0.35"/>
  <cols>
    <col min="1" max="1" width="10.6328125" bestFit="1" customWidth="1"/>
    <col min="2" max="2" width="10.6328125" customWidth="1"/>
    <col min="3" max="3" width="47.453125" bestFit="1" customWidth="1"/>
    <col min="4" max="4" width="40.6328125" bestFit="1" customWidth="1"/>
    <col min="5" max="5" width="9.54296875" bestFit="1" customWidth="1"/>
    <col min="6" max="6" width="11.7265625" bestFit="1" customWidth="1"/>
  </cols>
  <sheetData>
    <row r="1" spans="1:6" x14ac:dyDescent="0.35">
      <c r="A1" t="s">
        <v>119</v>
      </c>
      <c r="B1" t="s">
        <v>126</v>
      </c>
      <c r="C1" t="s">
        <v>120</v>
      </c>
      <c r="D1" t="s">
        <v>171</v>
      </c>
      <c r="E1" t="s">
        <v>170</v>
      </c>
      <c r="F1" t="s">
        <v>186</v>
      </c>
    </row>
    <row r="2" spans="1:6" x14ac:dyDescent="0.35">
      <c r="A2" t="s">
        <v>169</v>
      </c>
      <c r="B2">
        <v>1</v>
      </c>
      <c r="C2" t="s">
        <v>121</v>
      </c>
      <c r="D2" t="s">
        <v>172</v>
      </c>
      <c r="E2">
        <v>231</v>
      </c>
      <c r="F2" s="3"/>
    </row>
    <row r="3" spans="1:6" x14ac:dyDescent="0.35">
      <c r="A3" t="s">
        <v>122</v>
      </c>
      <c r="B3">
        <v>1</v>
      </c>
      <c r="C3" t="s">
        <v>123</v>
      </c>
      <c r="D3" t="s">
        <v>172</v>
      </c>
      <c r="E3">
        <v>231</v>
      </c>
      <c r="F3" s="3"/>
    </row>
    <row r="4" spans="1:6" x14ac:dyDescent="0.35">
      <c r="A4" t="s">
        <v>124</v>
      </c>
      <c r="B4">
        <v>1</v>
      </c>
      <c r="C4" t="s">
        <v>125</v>
      </c>
      <c r="F4" s="3"/>
    </row>
    <row r="5" spans="1:6" x14ac:dyDescent="0.35">
      <c r="A5" t="s">
        <v>128</v>
      </c>
      <c r="B5">
        <v>2</v>
      </c>
      <c r="C5" t="s">
        <v>132</v>
      </c>
      <c r="F5" s="3"/>
    </row>
    <row r="6" spans="1:6" x14ac:dyDescent="0.35">
      <c r="A6" t="s">
        <v>129</v>
      </c>
      <c r="B6">
        <v>2</v>
      </c>
      <c r="C6" t="s">
        <v>131</v>
      </c>
      <c r="F6" s="3"/>
    </row>
    <row r="7" spans="1:6" x14ac:dyDescent="0.35">
      <c r="A7" t="s">
        <v>130</v>
      </c>
      <c r="B7">
        <v>2</v>
      </c>
      <c r="C7" t="s">
        <v>133</v>
      </c>
      <c r="F7" s="3"/>
    </row>
    <row r="8" spans="1:6" x14ac:dyDescent="0.35">
      <c r="A8" t="s">
        <v>51</v>
      </c>
      <c r="B8">
        <v>1</v>
      </c>
      <c r="C8" t="s">
        <v>134</v>
      </c>
      <c r="F8" s="3"/>
    </row>
    <row r="9" spans="1:6" x14ac:dyDescent="0.35">
      <c r="A9" t="s">
        <v>49</v>
      </c>
      <c r="B9">
        <v>1</v>
      </c>
      <c r="C9" t="s">
        <v>135</v>
      </c>
      <c r="F9" s="3"/>
    </row>
    <row r="10" spans="1:6" x14ac:dyDescent="0.35">
      <c r="A10" t="s">
        <v>136</v>
      </c>
      <c r="B10">
        <v>1</v>
      </c>
      <c r="C10" t="s">
        <v>137</v>
      </c>
      <c r="F10" s="3"/>
    </row>
    <row r="11" spans="1:6" x14ac:dyDescent="0.35">
      <c r="A11" t="s">
        <v>48</v>
      </c>
      <c r="B11">
        <v>1</v>
      </c>
      <c r="C11" t="s">
        <v>138</v>
      </c>
      <c r="F11" s="3"/>
    </row>
    <row r="12" spans="1:6" x14ac:dyDescent="0.35">
      <c r="A12" t="s">
        <v>54</v>
      </c>
      <c r="B12">
        <v>1</v>
      </c>
      <c r="C12" t="s">
        <v>139</v>
      </c>
      <c r="F12" s="3"/>
    </row>
    <row r="13" spans="1:6" x14ac:dyDescent="0.35">
      <c r="A13" t="s">
        <v>55</v>
      </c>
      <c r="B13">
        <v>1</v>
      </c>
      <c r="C13" t="s">
        <v>143</v>
      </c>
      <c r="F13" s="3"/>
    </row>
    <row r="14" spans="1:6" x14ac:dyDescent="0.35">
      <c r="A14" t="s">
        <v>47</v>
      </c>
      <c r="B14">
        <v>1</v>
      </c>
      <c r="C14" t="s">
        <v>142</v>
      </c>
      <c r="F14" s="3"/>
    </row>
    <row r="15" spans="1:6" x14ac:dyDescent="0.35">
      <c r="A15" t="s">
        <v>140</v>
      </c>
      <c r="B15">
        <v>4</v>
      </c>
      <c r="C15" t="s">
        <v>141</v>
      </c>
      <c r="F15" s="3"/>
    </row>
    <row r="16" spans="1:6" x14ac:dyDescent="0.35">
      <c r="A16" t="s">
        <v>144</v>
      </c>
      <c r="B16">
        <v>1</v>
      </c>
      <c r="C16" t="s">
        <v>145</v>
      </c>
      <c r="F16" s="3"/>
    </row>
    <row r="17" spans="1:6" x14ac:dyDescent="0.35">
      <c r="A17" t="s">
        <v>146</v>
      </c>
      <c r="B17">
        <v>1</v>
      </c>
      <c r="C17" t="s">
        <v>147</v>
      </c>
      <c r="F17" s="3"/>
    </row>
    <row r="18" spans="1:6" x14ac:dyDescent="0.35">
      <c r="A18" t="s">
        <v>151</v>
      </c>
      <c r="B18">
        <v>1</v>
      </c>
      <c r="C18" t="s">
        <v>152</v>
      </c>
      <c r="F18" s="3"/>
    </row>
    <row r="19" spans="1:6" x14ac:dyDescent="0.35">
      <c r="A19" t="s">
        <v>148</v>
      </c>
      <c r="B19">
        <v>2</v>
      </c>
      <c r="C19" t="s">
        <v>149</v>
      </c>
      <c r="F19" s="3"/>
    </row>
    <row r="20" spans="1:6" x14ac:dyDescent="0.35">
      <c r="A20" t="s">
        <v>40</v>
      </c>
      <c r="B20">
        <v>2</v>
      </c>
      <c r="C20" t="s">
        <v>150</v>
      </c>
      <c r="F20" s="3"/>
    </row>
    <row r="21" spans="1:6" x14ac:dyDescent="0.35">
      <c r="A21" t="s">
        <v>127</v>
      </c>
      <c r="B21">
        <v>8</v>
      </c>
      <c r="C21" t="s">
        <v>153</v>
      </c>
      <c r="F21" s="3"/>
    </row>
    <row r="22" spans="1:6" x14ac:dyDescent="0.35">
      <c r="A22" t="s">
        <v>189</v>
      </c>
      <c r="B22">
        <v>1</v>
      </c>
      <c r="C22" t="s">
        <v>194</v>
      </c>
      <c r="F22" s="3"/>
    </row>
    <row r="23" spans="1:6" x14ac:dyDescent="0.35">
      <c r="A23" t="s">
        <v>188</v>
      </c>
      <c r="B23">
        <v>1</v>
      </c>
      <c r="C23" t="s">
        <v>195</v>
      </c>
      <c r="F23" s="3"/>
    </row>
    <row r="24" spans="1:6" x14ac:dyDescent="0.35">
      <c r="A24" t="s">
        <v>154</v>
      </c>
      <c r="B24">
        <f>SUM(B2:B23)</f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2BCFE-8BCF-40E1-9440-9F508A532375}">
  <dimension ref="A1:G49"/>
  <sheetViews>
    <sheetView tabSelected="1" topLeftCell="A28" zoomScale="130" zoomScaleNormal="130" workbookViewId="0">
      <selection activeCell="C45" sqref="C45"/>
    </sheetView>
  </sheetViews>
  <sheetFormatPr defaultRowHeight="14.5" x14ac:dyDescent="0.35"/>
  <cols>
    <col min="1" max="1" width="10.6328125" bestFit="1" customWidth="1"/>
    <col min="2" max="2" width="23.08984375" bestFit="1" customWidth="1"/>
    <col min="3" max="3" width="15.1796875" bestFit="1" customWidth="1"/>
    <col min="4" max="4" width="16.36328125" bestFit="1" customWidth="1"/>
  </cols>
  <sheetData>
    <row r="1" spans="1:4" x14ac:dyDescent="0.35">
      <c r="A1" t="s">
        <v>89</v>
      </c>
      <c r="B1" t="s">
        <v>90</v>
      </c>
      <c r="C1" t="s">
        <v>155</v>
      </c>
      <c r="D1" t="s">
        <v>156</v>
      </c>
    </row>
    <row r="2" spans="1:4" x14ac:dyDescent="0.35">
      <c r="A2">
        <v>1</v>
      </c>
      <c r="B2" t="s">
        <v>157</v>
      </c>
    </row>
    <row r="3" spans="1:4" x14ac:dyDescent="0.35">
      <c r="A3">
        <v>2</v>
      </c>
      <c r="B3" t="s">
        <v>96</v>
      </c>
    </row>
    <row r="4" spans="1:4" x14ac:dyDescent="0.35">
      <c r="A4">
        <v>3</v>
      </c>
      <c r="B4" t="s">
        <v>16</v>
      </c>
      <c r="C4" t="s">
        <v>217</v>
      </c>
      <c r="D4" t="s">
        <v>179</v>
      </c>
    </row>
    <row r="5" spans="1:4" x14ac:dyDescent="0.35">
      <c r="A5">
        <v>4</v>
      </c>
      <c r="B5" t="s">
        <v>97</v>
      </c>
      <c r="C5" t="s">
        <v>98</v>
      </c>
      <c r="D5" t="s">
        <v>97</v>
      </c>
    </row>
    <row r="6" spans="1:4" x14ac:dyDescent="0.35">
      <c r="A6">
        <v>5</v>
      </c>
      <c r="B6" t="s">
        <v>158</v>
      </c>
      <c r="C6" t="s">
        <v>218</v>
      </c>
      <c r="D6" t="s">
        <v>179</v>
      </c>
    </row>
    <row r="7" spans="1:4" x14ac:dyDescent="0.35">
      <c r="A7">
        <v>6</v>
      </c>
      <c r="B7" t="s">
        <v>98</v>
      </c>
      <c r="C7" t="s">
        <v>98</v>
      </c>
      <c r="D7" t="s">
        <v>98</v>
      </c>
    </row>
    <row r="8" spans="1:4" x14ac:dyDescent="0.35">
      <c r="A8">
        <v>7</v>
      </c>
      <c r="B8" t="s">
        <v>99</v>
      </c>
      <c r="C8" t="s">
        <v>99</v>
      </c>
      <c r="D8" t="s">
        <v>99</v>
      </c>
    </row>
    <row r="9" spans="1:4" x14ac:dyDescent="0.35">
      <c r="A9">
        <v>8</v>
      </c>
      <c r="B9" t="s">
        <v>100</v>
      </c>
      <c r="C9" t="s">
        <v>124</v>
      </c>
      <c r="D9" t="s">
        <v>124</v>
      </c>
    </row>
    <row r="10" spans="1:4" x14ac:dyDescent="0.35">
      <c r="A10">
        <v>9</v>
      </c>
      <c r="B10" t="s">
        <v>159</v>
      </c>
      <c r="C10" t="s">
        <v>52</v>
      </c>
      <c r="D10" t="s">
        <v>178</v>
      </c>
    </row>
    <row r="11" spans="1:4" x14ac:dyDescent="0.35">
      <c r="A11">
        <v>10</v>
      </c>
      <c r="B11" t="s">
        <v>102</v>
      </c>
      <c r="C11" t="s">
        <v>53</v>
      </c>
      <c r="D11" t="s">
        <v>178</v>
      </c>
    </row>
    <row r="12" spans="1:4" x14ac:dyDescent="0.35">
      <c r="A12">
        <v>11</v>
      </c>
      <c r="B12" t="s">
        <v>103</v>
      </c>
      <c r="C12" t="s">
        <v>173</v>
      </c>
      <c r="D12" t="s">
        <v>173</v>
      </c>
    </row>
    <row r="13" spans="1:4" x14ac:dyDescent="0.35">
      <c r="A13">
        <v>12</v>
      </c>
      <c r="B13" t="s">
        <v>104</v>
      </c>
      <c r="C13" t="s">
        <v>122</v>
      </c>
      <c r="D13" t="s">
        <v>122</v>
      </c>
    </row>
    <row r="14" spans="1:4" x14ac:dyDescent="0.35">
      <c r="A14">
        <v>13</v>
      </c>
      <c r="B14" t="s">
        <v>160</v>
      </c>
      <c r="C14" t="s">
        <v>219</v>
      </c>
      <c r="D14" t="s">
        <v>179</v>
      </c>
    </row>
    <row r="15" spans="1:4" x14ac:dyDescent="0.35">
      <c r="A15">
        <v>14</v>
      </c>
      <c r="B15" t="s">
        <v>20</v>
      </c>
      <c r="C15" t="s">
        <v>213</v>
      </c>
      <c r="D15" t="s">
        <v>214</v>
      </c>
    </row>
    <row r="16" spans="1:4" x14ac:dyDescent="0.35">
      <c r="A16">
        <v>15</v>
      </c>
      <c r="B16" t="s">
        <v>22</v>
      </c>
      <c r="C16" t="s">
        <v>216</v>
      </c>
      <c r="D16" t="s">
        <v>215</v>
      </c>
    </row>
    <row r="17" spans="1:7" x14ac:dyDescent="0.35">
      <c r="A17">
        <v>16</v>
      </c>
      <c r="B17" t="s">
        <v>2</v>
      </c>
      <c r="C17" t="s">
        <v>176</v>
      </c>
      <c r="D17" t="s">
        <v>202</v>
      </c>
    </row>
    <row r="18" spans="1:7" x14ac:dyDescent="0.35">
      <c r="A18">
        <v>17</v>
      </c>
      <c r="B18" t="s">
        <v>105</v>
      </c>
      <c r="C18" t="s">
        <v>177</v>
      </c>
      <c r="D18" t="s">
        <v>203</v>
      </c>
    </row>
    <row r="19" spans="1:7" x14ac:dyDescent="0.35">
      <c r="A19">
        <v>18</v>
      </c>
      <c r="B19" t="s">
        <v>106</v>
      </c>
      <c r="C19" t="s">
        <v>151</v>
      </c>
      <c r="D19" t="s">
        <v>178</v>
      </c>
    </row>
    <row r="20" spans="1:7" x14ac:dyDescent="0.35">
      <c r="A20">
        <v>19</v>
      </c>
      <c r="B20" t="s">
        <v>4</v>
      </c>
      <c r="C20" t="s">
        <v>204</v>
      </c>
      <c r="D20" t="s">
        <v>209</v>
      </c>
    </row>
    <row r="21" spans="1:7" x14ac:dyDescent="0.35">
      <c r="A21">
        <v>20</v>
      </c>
      <c r="B21" t="s">
        <v>24</v>
      </c>
      <c r="C21" t="s">
        <v>48</v>
      </c>
      <c r="D21" t="s">
        <v>201</v>
      </c>
    </row>
    <row r="22" spans="1:7" x14ac:dyDescent="0.35">
      <c r="A22">
        <v>21</v>
      </c>
      <c r="B22" t="s">
        <v>25</v>
      </c>
      <c r="C22" t="s">
        <v>200</v>
      </c>
      <c r="D22" t="s">
        <v>199</v>
      </c>
    </row>
    <row r="23" spans="1:7" x14ac:dyDescent="0.35">
      <c r="A23">
        <v>22</v>
      </c>
      <c r="B23" t="s">
        <v>26</v>
      </c>
      <c r="C23" t="s">
        <v>198</v>
      </c>
      <c r="D23" t="s">
        <v>197</v>
      </c>
    </row>
    <row r="24" spans="1:7" x14ac:dyDescent="0.35">
      <c r="A24">
        <v>23</v>
      </c>
      <c r="B24" t="s">
        <v>27</v>
      </c>
      <c r="C24" t="s">
        <v>51</v>
      </c>
      <c r="D24" t="s">
        <v>196</v>
      </c>
    </row>
    <row r="25" spans="1:7" x14ac:dyDescent="0.35">
      <c r="A25">
        <v>24</v>
      </c>
      <c r="B25" t="s">
        <v>161</v>
      </c>
      <c r="C25" t="s">
        <v>55</v>
      </c>
      <c r="D25" t="s">
        <v>178</v>
      </c>
    </row>
    <row r="26" spans="1:7" x14ac:dyDescent="0.35">
      <c r="A26">
        <v>25</v>
      </c>
      <c r="B26" t="s">
        <v>30</v>
      </c>
      <c r="C26" t="s">
        <v>54</v>
      </c>
      <c r="D26" t="s">
        <v>179</v>
      </c>
    </row>
    <row r="27" spans="1:7" x14ac:dyDescent="0.35">
      <c r="A27">
        <v>26</v>
      </c>
      <c r="B27" t="s">
        <v>31</v>
      </c>
      <c r="C27" t="s">
        <v>47</v>
      </c>
      <c r="D27" t="s">
        <v>178</v>
      </c>
    </row>
    <row r="28" spans="1:7" x14ac:dyDescent="0.35">
      <c r="A28">
        <v>27</v>
      </c>
      <c r="B28" t="s">
        <v>162</v>
      </c>
      <c r="C28" t="s">
        <v>220</v>
      </c>
      <c r="D28" t="s">
        <v>222</v>
      </c>
      <c r="F28" t="s">
        <v>205</v>
      </c>
      <c r="G28" t="s">
        <v>179</v>
      </c>
    </row>
    <row r="29" spans="1:7" x14ac:dyDescent="0.35">
      <c r="A29">
        <v>28</v>
      </c>
      <c r="B29" t="s">
        <v>6</v>
      </c>
      <c r="C29" t="s">
        <v>224</v>
      </c>
      <c r="D29" t="s">
        <v>223</v>
      </c>
      <c r="F29" t="s">
        <v>206</v>
      </c>
      <c r="G29" t="s">
        <v>179</v>
      </c>
    </row>
    <row r="30" spans="1:7" x14ac:dyDescent="0.35">
      <c r="A30">
        <v>29</v>
      </c>
      <c r="B30" t="s">
        <v>107</v>
      </c>
      <c r="C30" t="s">
        <v>221</v>
      </c>
      <c r="D30" t="s">
        <v>225</v>
      </c>
      <c r="F30" t="s">
        <v>207</v>
      </c>
      <c r="G30" t="s">
        <v>179</v>
      </c>
    </row>
    <row r="31" spans="1:7" x14ac:dyDescent="0.35">
      <c r="A31">
        <v>30</v>
      </c>
      <c r="B31" t="s">
        <v>108</v>
      </c>
      <c r="C31" t="s">
        <v>211</v>
      </c>
      <c r="D31" t="s">
        <v>210</v>
      </c>
    </row>
    <row r="32" spans="1:7" x14ac:dyDescent="0.35">
      <c r="A32">
        <v>31</v>
      </c>
      <c r="B32" t="s">
        <v>109</v>
      </c>
      <c r="C32" t="s">
        <v>228</v>
      </c>
      <c r="D32" t="s">
        <v>178</v>
      </c>
    </row>
    <row r="33" spans="1:4" x14ac:dyDescent="0.35">
      <c r="A33">
        <v>32</v>
      </c>
      <c r="B33" t="s">
        <v>110</v>
      </c>
    </row>
    <row r="34" spans="1:4" x14ac:dyDescent="0.35">
      <c r="A34">
        <v>33</v>
      </c>
      <c r="B34" t="s">
        <v>111</v>
      </c>
      <c r="C34" t="s">
        <v>182</v>
      </c>
      <c r="D34" t="s">
        <v>187</v>
      </c>
    </row>
    <row r="35" spans="1:4" x14ac:dyDescent="0.35">
      <c r="A35">
        <v>34</v>
      </c>
      <c r="B35" t="s">
        <v>112</v>
      </c>
      <c r="C35" t="s">
        <v>188</v>
      </c>
      <c r="D35" t="s">
        <v>188</v>
      </c>
    </row>
    <row r="36" spans="1:4" x14ac:dyDescent="0.35">
      <c r="A36">
        <v>35</v>
      </c>
      <c r="B36" t="s">
        <v>113</v>
      </c>
      <c r="C36" t="s">
        <v>189</v>
      </c>
      <c r="D36" t="s">
        <v>189</v>
      </c>
    </row>
    <row r="37" spans="1:4" x14ac:dyDescent="0.35">
      <c r="A37">
        <v>36</v>
      </c>
      <c r="B37" t="s">
        <v>163</v>
      </c>
      <c r="C37" t="s">
        <v>184</v>
      </c>
      <c r="D37" t="s">
        <v>190</v>
      </c>
    </row>
    <row r="38" spans="1:4" x14ac:dyDescent="0.35">
      <c r="A38">
        <v>37</v>
      </c>
      <c r="B38" t="s">
        <v>164</v>
      </c>
      <c r="C38" t="s">
        <v>183</v>
      </c>
      <c r="D38" t="s">
        <v>191</v>
      </c>
    </row>
    <row r="39" spans="1:4" x14ac:dyDescent="0.35">
      <c r="A39">
        <v>38</v>
      </c>
      <c r="B39" t="s">
        <v>165</v>
      </c>
      <c r="C39" t="s">
        <v>185</v>
      </c>
      <c r="D39" t="s">
        <v>212</v>
      </c>
    </row>
    <row r="40" spans="1:4" x14ac:dyDescent="0.35">
      <c r="A40">
        <v>39</v>
      </c>
      <c r="B40" t="s">
        <v>114</v>
      </c>
      <c r="C40" t="s">
        <v>175</v>
      </c>
      <c r="D40" t="s">
        <v>175</v>
      </c>
    </row>
    <row r="41" spans="1:4" x14ac:dyDescent="0.35">
      <c r="A41">
        <v>40</v>
      </c>
      <c r="B41" t="s">
        <v>115</v>
      </c>
      <c r="C41" t="s">
        <v>208</v>
      </c>
      <c r="D41" t="s">
        <v>179</v>
      </c>
    </row>
    <row r="42" spans="1:4" x14ac:dyDescent="0.35">
      <c r="A42">
        <v>41</v>
      </c>
      <c r="B42" t="s">
        <v>166</v>
      </c>
      <c r="C42" t="s">
        <v>192</v>
      </c>
      <c r="D42" t="s">
        <v>179</v>
      </c>
    </row>
    <row r="43" spans="1:4" x14ac:dyDescent="0.35">
      <c r="A43">
        <v>42</v>
      </c>
      <c r="B43" t="s">
        <v>167</v>
      </c>
      <c r="C43" t="s">
        <v>193</v>
      </c>
      <c r="D43" t="s">
        <v>179</v>
      </c>
    </row>
    <row r="44" spans="1:4" x14ac:dyDescent="0.35">
      <c r="A44">
        <v>43</v>
      </c>
      <c r="B44" t="s">
        <v>116</v>
      </c>
      <c r="C44" t="s">
        <v>174</v>
      </c>
      <c r="D44" t="s">
        <v>174</v>
      </c>
    </row>
    <row r="45" spans="1:4" x14ac:dyDescent="0.35">
      <c r="A45">
        <v>44</v>
      </c>
      <c r="B45" t="s">
        <v>118</v>
      </c>
      <c r="C45" t="s">
        <v>226</v>
      </c>
      <c r="D45" t="s">
        <v>227</v>
      </c>
    </row>
    <row r="46" spans="1:4" x14ac:dyDescent="0.35">
      <c r="A46">
        <v>45</v>
      </c>
      <c r="B46" t="s">
        <v>168</v>
      </c>
    </row>
    <row r="47" spans="1:4" x14ac:dyDescent="0.35">
      <c r="A47">
        <v>46</v>
      </c>
      <c r="B47" t="s">
        <v>92</v>
      </c>
      <c r="C47" t="s">
        <v>43</v>
      </c>
      <c r="D47" t="s">
        <v>180</v>
      </c>
    </row>
    <row r="48" spans="1:4" x14ac:dyDescent="0.35">
      <c r="A48">
        <v>47</v>
      </c>
      <c r="B48" t="s">
        <v>93</v>
      </c>
      <c r="C48" t="s">
        <v>46</v>
      </c>
      <c r="D48" t="s">
        <v>181</v>
      </c>
    </row>
    <row r="49" spans="1:4" x14ac:dyDescent="0.35">
      <c r="A49">
        <v>48</v>
      </c>
      <c r="B49" t="s">
        <v>94</v>
      </c>
      <c r="C49" t="s">
        <v>94</v>
      </c>
      <c r="D49" t="s">
        <v>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71700-F189-4D20-B718-BFF269E87986}">
  <dimension ref="A1:C29"/>
  <sheetViews>
    <sheetView workbookViewId="0">
      <selection activeCell="B29" sqref="B29"/>
    </sheetView>
  </sheetViews>
  <sheetFormatPr defaultRowHeight="14.5" x14ac:dyDescent="0.35"/>
  <cols>
    <col min="1" max="1" width="10.6328125" bestFit="1" customWidth="1"/>
    <col min="2" max="2" width="23.08984375" bestFit="1" customWidth="1"/>
    <col min="3" max="3" width="15.1796875" bestFit="1" customWidth="1"/>
  </cols>
  <sheetData>
    <row r="1" spans="1:3" x14ac:dyDescent="0.35">
      <c r="A1" t="s">
        <v>89</v>
      </c>
      <c r="B1" t="s">
        <v>90</v>
      </c>
      <c r="C1" t="s">
        <v>91</v>
      </c>
    </row>
    <row r="2" spans="1:3" x14ac:dyDescent="0.35">
      <c r="A2">
        <v>1</v>
      </c>
      <c r="B2" t="s">
        <v>92</v>
      </c>
    </row>
    <row r="3" spans="1:3" x14ac:dyDescent="0.35">
      <c r="A3">
        <v>2</v>
      </c>
      <c r="B3" t="s">
        <v>93</v>
      </c>
    </row>
    <row r="4" spans="1:3" x14ac:dyDescent="0.35">
      <c r="A4">
        <v>3</v>
      </c>
      <c r="B4" t="s">
        <v>94</v>
      </c>
    </row>
    <row r="5" spans="1:3" x14ac:dyDescent="0.35">
      <c r="A5">
        <v>4</v>
      </c>
      <c r="B5" t="s">
        <v>95</v>
      </c>
    </row>
    <row r="6" spans="1:3" x14ac:dyDescent="0.35">
      <c r="A6">
        <v>5</v>
      </c>
      <c r="B6" t="s">
        <v>96</v>
      </c>
    </row>
    <row r="7" spans="1:3" x14ac:dyDescent="0.35">
      <c r="A7">
        <v>6</v>
      </c>
      <c r="B7" t="s">
        <v>97</v>
      </c>
    </row>
    <row r="8" spans="1:3" x14ac:dyDescent="0.35">
      <c r="A8">
        <v>7</v>
      </c>
      <c r="B8" t="s">
        <v>98</v>
      </c>
    </row>
    <row r="9" spans="1:3" x14ac:dyDescent="0.35">
      <c r="A9">
        <v>8</v>
      </c>
      <c r="B9" t="s">
        <v>99</v>
      </c>
    </row>
    <row r="10" spans="1:3" x14ac:dyDescent="0.35">
      <c r="A10">
        <v>9</v>
      </c>
      <c r="B10" t="s">
        <v>100</v>
      </c>
    </row>
    <row r="11" spans="1:3" x14ac:dyDescent="0.35">
      <c r="A11">
        <v>10</v>
      </c>
      <c r="B11" t="s">
        <v>101</v>
      </c>
    </row>
    <row r="12" spans="1:3" x14ac:dyDescent="0.35">
      <c r="A12">
        <v>11</v>
      </c>
      <c r="B12" t="s">
        <v>102</v>
      </c>
    </row>
    <row r="13" spans="1:3" x14ac:dyDescent="0.35">
      <c r="A13">
        <v>12</v>
      </c>
      <c r="B13" t="s">
        <v>103</v>
      </c>
    </row>
    <row r="14" spans="1:3" x14ac:dyDescent="0.35">
      <c r="A14">
        <v>13</v>
      </c>
      <c r="B14" t="s">
        <v>104</v>
      </c>
    </row>
    <row r="15" spans="1:3" x14ac:dyDescent="0.35">
      <c r="A15">
        <v>14</v>
      </c>
      <c r="B15" t="s">
        <v>105</v>
      </c>
    </row>
    <row r="16" spans="1:3" x14ac:dyDescent="0.35">
      <c r="A16">
        <v>15</v>
      </c>
      <c r="B16" t="s">
        <v>106</v>
      </c>
    </row>
    <row r="17" spans="1:2" x14ac:dyDescent="0.35">
      <c r="A17">
        <v>16</v>
      </c>
      <c r="B17" t="s">
        <v>4</v>
      </c>
    </row>
    <row r="18" spans="1:2" x14ac:dyDescent="0.35">
      <c r="A18">
        <v>17</v>
      </c>
      <c r="B18" t="s">
        <v>107</v>
      </c>
    </row>
    <row r="19" spans="1:2" x14ac:dyDescent="0.35">
      <c r="A19">
        <v>18</v>
      </c>
      <c r="B19" t="s">
        <v>108</v>
      </c>
    </row>
    <row r="20" spans="1:2" x14ac:dyDescent="0.35">
      <c r="A20">
        <v>19</v>
      </c>
      <c r="B20" t="s">
        <v>109</v>
      </c>
    </row>
    <row r="21" spans="1:2" x14ac:dyDescent="0.35">
      <c r="A21">
        <v>20</v>
      </c>
      <c r="B21" t="s">
        <v>110</v>
      </c>
    </row>
    <row r="22" spans="1:2" x14ac:dyDescent="0.35">
      <c r="A22">
        <v>21</v>
      </c>
      <c r="B22" t="s">
        <v>111</v>
      </c>
    </row>
    <row r="23" spans="1:2" x14ac:dyDescent="0.35">
      <c r="A23">
        <v>22</v>
      </c>
      <c r="B23" t="s">
        <v>112</v>
      </c>
    </row>
    <row r="24" spans="1:2" x14ac:dyDescent="0.35">
      <c r="A24">
        <v>23</v>
      </c>
      <c r="B24" t="s">
        <v>113</v>
      </c>
    </row>
    <row r="25" spans="1:2" x14ac:dyDescent="0.35">
      <c r="A25">
        <v>24</v>
      </c>
      <c r="B25" t="s">
        <v>114</v>
      </c>
    </row>
    <row r="26" spans="1:2" x14ac:dyDescent="0.35">
      <c r="A26">
        <v>25</v>
      </c>
      <c r="B26" t="s">
        <v>115</v>
      </c>
    </row>
    <row r="27" spans="1:2" x14ac:dyDescent="0.35">
      <c r="A27">
        <v>26</v>
      </c>
      <c r="B27" t="s">
        <v>116</v>
      </c>
    </row>
    <row r="28" spans="1:2" x14ac:dyDescent="0.35">
      <c r="A28">
        <v>27</v>
      </c>
      <c r="B28" t="s">
        <v>118</v>
      </c>
    </row>
    <row r="29" spans="1:2" x14ac:dyDescent="0.35">
      <c r="A29">
        <v>28</v>
      </c>
      <c r="B29" t="s">
        <v>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zoomScale="85" zoomScaleNormal="85" workbookViewId="0">
      <selection activeCell="D31" sqref="D31"/>
    </sheetView>
  </sheetViews>
  <sheetFormatPr defaultRowHeight="14.5" x14ac:dyDescent="0.35"/>
  <cols>
    <col min="2" max="2" width="10.453125" bestFit="1" customWidth="1"/>
    <col min="3" max="3" width="9.81640625" bestFit="1" customWidth="1"/>
  </cols>
  <sheetData>
    <row r="1" spans="1:3" x14ac:dyDescent="0.35">
      <c r="A1" t="s">
        <v>0</v>
      </c>
      <c r="B1" t="s">
        <v>1</v>
      </c>
      <c r="C1" t="s">
        <v>57</v>
      </c>
    </row>
    <row r="2" spans="1:3" x14ac:dyDescent="0.35">
      <c r="A2" t="s">
        <v>2</v>
      </c>
      <c r="B2" t="s">
        <v>38</v>
      </c>
      <c r="C2">
        <v>1</v>
      </c>
    </row>
    <row r="3" spans="1:3" x14ac:dyDescent="0.35">
      <c r="A3" t="s">
        <v>3</v>
      </c>
      <c r="B3" t="s">
        <v>39</v>
      </c>
      <c r="C3">
        <v>1</v>
      </c>
    </row>
    <row r="4" spans="1:3" x14ac:dyDescent="0.35">
      <c r="A4" t="s">
        <v>4</v>
      </c>
      <c r="B4" t="s">
        <v>39</v>
      </c>
      <c r="C4">
        <v>1</v>
      </c>
    </row>
    <row r="5" spans="1:3" x14ac:dyDescent="0.35">
      <c r="A5" t="s">
        <v>5</v>
      </c>
      <c r="B5" t="s">
        <v>39</v>
      </c>
      <c r="C5">
        <v>1</v>
      </c>
    </row>
    <row r="6" spans="1:3" x14ac:dyDescent="0.35">
      <c r="A6" t="s">
        <v>6</v>
      </c>
      <c r="B6" t="s">
        <v>39</v>
      </c>
      <c r="C6">
        <v>1</v>
      </c>
    </row>
    <row r="7" spans="1:3" x14ac:dyDescent="0.35">
      <c r="A7" t="s">
        <v>7</v>
      </c>
      <c r="B7" t="s">
        <v>40</v>
      </c>
      <c r="C7">
        <v>1</v>
      </c>
    </row>
    <row r="8" spans="1:3" x14ac:dyDescent="0.35">
      <c r="A8" t="s">
        <v>8</v>
      </c>
      <c r="B8" t="s">
        <v>40</v>
      </c>
      <c r="C8">
        <v>1</v>
      </c>
    </row>
    <row r="9" spans="1:3" x14ac:dyDescent="0.35">
      <c r="A9" t="s">
        <v>9</v>
      </c>
      <c r="B9" t="s">
        <v>41</v>
      </c>
      <c r="C9">
        <v>1</v>
      </c>
    </row>
    <row r="10" spans="1:3" x14ac:dyDescent="0.35">
      <c r="A10" t="s">
        <v>10</v>
      </c>
      <c r="B10" t="s">
        <v>42</v>
      </c>
      <c r="C10">
        <v>1</v>
      </c>
    </row>
    <row r="11" spans="1:3" x14ac:dyDescent="0.35">
      <c r="A11" t="s">
        <v>11</v>
      </c>
      <c r="B11" t="s">
        <v>43</v>
      </c>
      <c r="C11">
        <v>1</v>
      </c>
    </row>
    <row r="12" spans="1:3" x14ac:dyDescent="0.35">
      <c r="A12" t="s">
        <v>12</v>
      </c>
      <c r="B12" t="s">
        <v>44</v>
      </c>
      <c r="C12">
        <v>1</v>
      </c>
    </row>
    <row r="13" spans="1:3" x14ac:dyDescent="0.35">
      <c r="A13" t="s">
        <v>13</v>
      </c>
      <c r="B13" t="s">
        <v>45</v>
      </c>
      <c r="C13">
        <v>1</v>
      </c>
    </row>
    <row r="14" spans="1:3" x14ac:dyDescent="0.35">
      <c r="A14" t="s">
        <v>14</v>
      </c>
      <c r="B14" t="s">
        <v>21</v>
      </c>
      <c r="C14">
        <v>0</v>
      </c>
    </row>
    <row r="15" spans="1:3" x14ac:dyDescent="0.35">
      <c r="A15" t="s">
        <v>15</v>
      </c>
      <c r="B15" t="s">
        <v>21</v>
      </c>
      <c r="C15">
        <v>0</v>
      </c>
    </row>
    <row r="16" spans="1:3" x14ac:dyDescent="0.35">
      <c r="A16" t="s">
        <v>16</v>
      </c>
      <c r="B16" t="s">
        <v>39</v>
      </c>
      <c r="C16">
        <v>1</v>
      </c>
    </row>
    <row r="17" spans="1:3" x14ac:dyDescent="0.35">
      <c r="A17" t="s">
        <v>17</v>
      </c>
      <c r="B17" t="s">
        <v>39</v>
      </c>
      <c r="C17">
        <v>1</v>
      </c>
    </row>
    <row r="18" spans="1:3" x14ac:dyDescent="0.35">
      <c r="A18" t="s">
        <v>18</v>
      </c>
      <c r="B18" t="s">
        <v>21</v>
      </c>
      <c r="C18">
        <v>0</v>
      </c>
    </row>
    <row r="19" spans="1:3" x14ac:dyDescent="0.35">
      <c r="A19" t="s">
        <v>19</v>
      </c>
      <c r="B19" t="s">
        <v>55</v>
      </c>
      <c r="C19">
        <v>1</v>
      </c>
    </row>
    <row r="20" spans="1:3" x14ac:dyDescent="0.35">
      <c r="A20" t="s">
        <v>20</v>
      </c>
      <c r="B20" t="s">
        <v>21</v>
      </c>
      <c r="C20">
        <v>0</v>
      </c>
    </row>
    <row r="21" spans="1:3" x14ac:dyDescent="0.35">
      <c r="A21" t="s">
        <v>22</v>
      </c>
      <c r="B21" t="s">
        <v>22</v>
      </c>
      <c r="C21">
        <v>1</v>
      </c>
    </row>
    <row r="22" spans="1:3" x14ac:dyDescent="0.35">
      <c r="A22" t="s">
        <v>23</v>
      </c>
      <c r="B22" t="s">
        <v>47</v>
      </c>
      <c r="C22">
        <v>1</v>
      </c>
    </row>
    <row r="23" spans="1:3" x14ac:dyDescent="0.35">
      <c r="A23" t="s">
        <v>24</v>
      </c>
      <c r="B23" t="s">
        <v>48</v>
      </c>
      <c r="C23">
        <v>1</v>
      </c>
    </row>
    <row r="24" spans="1:3" x14ac:dyDescent="0.35">
      <c r="A24" t="s">
        <v>25</v>
      </c>
      <c r="B24" t="s">
        <v>49</v>
      </c>
      <c r="C24">
        <v>1</v>
      </c>
    </row>
    <row r="25" spans="1:3" x14ac:dyDescent="0.35">
      <c r="A25" t="s">
        <v>26</v>
      </c>
      <c r="B25" t="s">
        <v>50</v>
      </c>
      <c r="C25">
        <v>1</v>
      </c>
    </row>
    <row r="26" spans="1:3" x14ac:dyDescent="0.35">
      <c r="A26" t="s">
        <v>27</v>
      </c>
      <c r="B26" t="s">
        <v>51</v>
      </c>
      <c r="C26">
        <v>1</v>
      </c>
    </row>
    <row r="27" spans="1:3" x14ac:dyDescent="0.35">
      <c r="A27" t="s">
        <v>28</v>
      </c>
      <c r="B27" t="s">
        <v>52</v>
      </c>
      <c r="C27">
        <v>1</v>
      </c>
    </row>
    <row r="28" spans="1:3" x14ac:dyDescent="0.35">
      <c r="A28" t="s">
        <v>29</v>
      </c>
      <c r="B28" t="s">
        <v>53</v>
      </c>
      <c r="C28">
        <v>1</v>
      </c>
    </row>
    <row r="29" spans="1:3" x14ac:dyDescent="0.35">
      <c r="A29" t="s">
        <v>30</v>
      </c>
      <c r="B29" t="s">
        <v>54</v>
      </c>
      <c r="C29">
        <v>1</v>
      </c>
    </row>
    <row r="30" spans="1:3" x14ac:dyDescent="0.35">
      <c r="A30" t="s">
        <v>31</v>
      </c>
      <c r="B30" t="s">
        <v>21</v>
      </c>
      <c r="C30">
        <v>0</v>
      </c>
    </row>
    <row r="31" spans="1:3" x14ac:dyDescent="0.35">
      <c r="A31" t="s">
        <v>32</v>
      </c>
      <c r="B31" t="s">
        <v>39</v>
      </c>
      <c r="C31">
        <v>1</v>
      </c>
    </row>
    <row r="32" spans="1:3" x14ac:dyDescent="0.35">
      <c r="A32" t="s">
        <v>33</v>
      </c>
      <c r="B32" t="s">
        <v>21</v>
      </c>
      <c r="C32">
        <v>0</v>
      </c>
    </row>
    <row r="33" spans="1:3" x14ac:dyDescent="0.35">
      <c r="A33" t="s">
        <v>34</v>
      </c>
      <c r="B33" t="s">
        <v>21</v>
      </c>
      <c r="C33">
        <v>0</v>
      </c>
    </row>
    <row r="34" spans="1:3" x14ac:dyDescent="0.35">
      <c r="A34" t="s">
        <v>35</v>
      </c>
      <c r="B34" t="s">
        <v>39</v>
      </c>
      <c r="C34">
        <v>1</v>
      </c>
    </row>
    <row r="35" spans="1:3" x14ac:dyDescent="0.35">
      <c r="A35" t="s">
        <v>37</v>
      </c>
      <c r="B35" t="s">
        <v>56</v>
      </c>
      <c r="C35">
        <v>1</v>
      </c>
    </row>
    <row r="36" spans="1:3" x14ac:dyDescent="0.35">
      <c r="A36" t="s">
        <v>36</v>
      </c>
      <c r="B36" t="s">
        <v>46</v>
      </c>
      <c r="C36">
        <v>1</v>
      </c>
    </row>
    <row r="37" spans="1:3" x14ac:dyDescent="0.35">
      <c r="B37" t="s">
        <v>58</v>
      </c>
      <c r="C37">
        <f>SUM(C2:C36)</f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Device Comparision</vt:lpstr>
      <vt:lpstr>Pin Requirements</vt:lpstr>
      <vt:lpstr>PT - 48 LQFP</vt:lpstr>
      <vt:lpstr>DGS28 - 28 VSSOP</vt:lpstr>
      <vt:lpstr>Pin Allocation v1.0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Ashton</dc:creator>
  <cp:lastModifiedBy>Knecht, Ashton</cp:lastModifiedBy>
  <dcterms:created xsi:type="dcterms:W3CDTF">2015-06-05T18:17:20Z</dcterms:created>
  <dcterms:modified xsi:type="dcterms:W3CDTF">2026-03-28T22:59:47Z</dcterms:modified>
</cp:coreProperties>
</file>